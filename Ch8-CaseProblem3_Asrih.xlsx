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reh\Downloads\"/>
    </mc:Choice>
  </mc:AlternateContent>
  <xr:revisionPtr revIDLastSave="0" documentId="13_ncr:1_{D102C498-6873-4A8B-863F-BF9DE73A20F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gression 1  Poles" sheetId="2" r:id="rId1"/>
    <sheet name="Regression 2 Wins" sheetId="3" r:id="rId2"/>
    <sheet name="Regression 3 Top 5" sheetId="4" r:id="rId3"/>
    <sheet name="Regression 4 Top 10" sheetId="5" r:id="rId4"/>
    <sheet name="Multiple Regression" sheetId="6" r:id="rId5"/>
    <sheet name="New Regression" sheetId="8" r:id="rId6"/>
    <sheet name="Data" sheetId="1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</calcChain>
</file>

<file path=xl/sharedStrings.xml><?xml version="1.0" encoding="utf-8"?>
<sst xmlns="http://schemas.openxmlformats.org/spreadsheetml/2006/main" count="206" uniqueCount="68">
  <si>
    <t>Driver</t>
  </si>
  <si>
    <t>Points</t>
  </si>
  <si>
    <t>Poles</t>
  </si>
  <si>
    <t>Wins</t>
  </si>
  <si>
    <t>Top 5</t>
  </si>
  <si>
    <t>Top 10</t>
  </si>
  <si>
    <t>Winnings ($)</t>
  </si>
  <si>
    <t>Tony Stewart</t>
  </si>
  <si>
    <t>Carl Edwards</t>
  </si>
  <si>
    <t>Kevin Harvick</t>
  </si>
  <si>
    <t>Matt Kenseth</t>
  </si>
  <si>
    <t>Brad Keselowski</t>
  </si>
  <si>
    <t>Jimmie Johnson</t>
  </si>
  <si>
    <t>Dale Earnhardt Jr.</t>
  </si>
  <si>
    <t>Jeff Gordon</t>
  </si>
  <si>
    <t>Denny Hamlin</t>
  </si>
  <si>
    <t>Ryan Newman</t>
  </si>
  <si>
    <t>Kurt Busch</t>
  </si>
  <si>
    <t>Kyle Busch</t>
  </si>
  <si>
    <t>Clint Bowyer</t>
  </si>
  <si>
    <t>Kasey Kahne</t>
  </si>
  <si>
    <t>A.J. Allmendinger</t>
  </si>
  <si>
    <t>Greg Biffle</t>
  </si>
  <si>
    <t>Paul Menard</t>
  </si>
  <si>
    <t>Martin Truex Jr.</t>
  </si>
  <si>
    <t>Marcos Ambrose</t>
  </si>
  <si>
    <t>Jeff Burton</t>
  </si>
  <si>
    <t>Juan Montoya</t>
  </si>
  <si>
    <t>Mark Martin</t>
  </si>
  <si>
    <t>David Ragan</t>
  </si>
  <si>
    <t>Joey Logano</t>
  </si>
  <si>
    <t>Brian Vickers</t>
  </si>
  <si>
    <t>Regan Smith</t>
  </si>
  <si>
    <t>Jamie McMurray</t>
  </si>
  <si>
    <t>David Reutimann</t>
  </si>
  <si>
    <t>Bobby Labonte</t>
  </si>
  <si>
    <t>David Gilliland</t>
  </si>
  <si>
    <t>Casey Mears</t>
  </si>
  <si>
    <t>Dave Blaney</t>
  </si>
  <si>
    <t>Andy Lally*</t>
  </si>
  <si>
    <t>Robby Gordon</t>
  </si>
  <si>
    <t>J.J. Yeley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</si>
  <si>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</si>
  <si>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</si>
  <si>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</si>
  <si>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</si>
  <si>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</si>
  <si>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</si>
  <si>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</si>
  <si>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</si>
  <si>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</si>
  <si>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</si>
  <si>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</si>
  <si>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</si>
  <si>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</si>
  <si>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</si>
  <si>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</si>
  <si>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</si>
  <si>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</si>
  <si>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</si>
  <si>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</si>
  <si>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</si>
  <si>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</si>
  <si>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</si>
  <si>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</si>
  <si>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</si>
  <si>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Top 2-5</t>
  </si>
  <si>
    <t>Top 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</si>
</sst>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5176-2C71-4A12-94DD-12539D6DF2FB}">
  <dimension ref="A1:I18"/>
  <sheetViews>
    <sheetView workbookViewId="0">
      <selection activeCell="G4" sqref="G4"/>
    </sheetView>
  </sheetViews>
  <sheetFormatPr defaultRowHeight="15.75" x14ac:dyDescent="0.25"/>
  <cols>
    <col min="1" max="1" width="10.75" customWidth="1"/>
    <col min="2" max="2" width="10" customWidth="1"/>
    <col min="3" max="3" width="12.125" customWidth="1"/>
  </cols>
  <sheetData>
    <row r="1" spans="1:9" x14ac:dyDescent="0.25">
      <c r="A1" t="s">
        <v>42</v>
      </c>
    </row>
    <row r="2" spans="1:9" ht="16.5" thickBot="1" x14ac:dyDescent="0.3"/>
    <row r="3" spans="1:9" x14ac:dyDescent="0.25">
      <c r="A3" s="8" t="s">
        <v>43</v>
      </c>
      <c r="B3" s="8"/>
    </row>
    <row r="4" spans="1:9" x14ac:dyDescent="0.25">
      <c r="A4" t="s">
        <v>44</v>
      </c>
      <c r="B4">
        <v>0.41673292349708618</v>
      </c>
    </row>
    <row r="5" spans="1:9" x14ac:dyDescent="0.25">
      <c r="A5" t="s">
        <v>45</v>
      </c>
      <c r="B5">
        <v>0.1736663295264283</v>
      </c>
    </row>
    <row r="6" spans="1:9" x14ac:dyDescent="0.25">
      <c r="A6" t="s">
        <v>46</v>
      </c>
      <c r="B6">
        <v>0.14784340232412918</v>
      </c>
    </row>
    <row r="7" spans="1:9" x14ac:dyDescent="0.25">
      <c r="A7" t="s">
        <v>47</v>
      </c>
      <c r="B7">
        <v>1170554.6807315596</v>
      </c>
    </row>
    <row r="8" spans="1:9" ht="16.5" thickBot="1" x14ac:dyDescent="0.3">
      <c r="A8" s="6" t="s">
        <v>48</v>
      </c>
      <c r="B8" s="6">
        <v>34</v>
      </c>
    </row>
    <row r="10" spans="1:9" ht="16.5" thickBot="1" x14ac:dyDescent="0.3">
      <c r="A10" t="s">
        <v>49</v>
      </c>
    </row>
    <row r="11" spans="1:9" x14ac:dyDescent="0.25">
      <c r="A11" s="7"/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</row>
    <row r="12" spans="1:9" x14ac:dyDescent="0.25">
      <c r="A12" t="s">
        <v>50</v>
      </c>
      <c r="B12">
        <v>1</v>
      </c>
      <c r="C12">
        <v>9214962377219.7344</v>
      </c>
      <c r="D12">
        <v>9214962377219.7344</v>
      </c>
      <c r="E12">
        <v>6.7252766568991502</v>
      </c>
      <c r="F12">
        <v>1.4216123792680804E-2</v>
      </c>
    </row>
    <row r="13" spans="1:9" x14ac:dyDescent="0.25">
      <c r="A13" t="s">
        <v>51</v>
      </c>
      <c r="B13">
        <v>32</v>
      </c>
      <c r="C13">
        <v>43846344338642.039</v>
      </c>
      <c r="D13">
        <v>1370198260582.5637</v>
      </c>
    </row>
    <row r="14" spans="1:9" ht="16.5" thickBot="1" x14ac:dyDescent="0.3">
      <c r="A14" s="6" t="s">
        <v>52</v>
      </c>
      <c r="B14" s="6">
        <v>33</v>
      </c>
      <c r="C14" s="6">
        <v>53061306715861.773</v>
      </c>
      <c r="D14" s="6"/>
      <c r="E14" s="6"/>
      <c r="F14" s="6"/>
    </row>
    <row r="15" spans="1:9" ht="16.5" thickBot="1" x14ac:dyDescent="0.3"/>
    <row r="16" spans="1:9" x14ac:dyDescent="0.25">
      <c r="A16" s="7"/>
      <c r="B16" s="7" t="s">
        <v>59</v>
      </c>
      <c r="C16" s="7" t="s">
        <v>47</v>
      </c>
      <c r="D16" s="7" t="s">
        <v>60</v>
      </c>
      <c r="E16" s="7" t="s">
        <v>61</v>
      </c>
      <c r="F16" s="7" t="s">
        <v>62</v>
      </c>
      <c r="G16" s="7" t="s">
        <v>63</v>
      </c>
      <c r="H16" s="7" t="s">
        <v>64</v>
      </c>
      <c r="I16" s="7" t="s">
        <v>65</v>
      </c>
    </row>
    <row r="17" spans="1:9" x14ac:dyDescent="0.25">
      <c r="A17" t="s">
        <v>53</v>
      </c>
      <c r="B17">
        <v>4210381.5168539314</v>
      </c>
      <c r="C17">
        <v>263210.34807322122</v>
      </c>
      <c r="D17">
        <v>15.99626134639154</v>
      </c>
      <c r="E17">
        <v>8.0349460203940981E-17</v>
      </c>
      <c r="F17">
        <v>3674239.5825198479</v>
      </c>
      <c r="G17">
        <v>4746523.4511880148</v>
      </c>
      <c r="H17">
        <v>3674239.5825198479</v>
      </c>
      <c r="I17">
        <v>4746523.4511880148</v>
      </c>
    </row>
    <row r="18" spans="1:9" ht="16.5" thickBot="1" x14ac:dyDescent="0.3">
      <c r="A18" s="6">
        <v>1</v>
      </c>
      <c r="B18" s="6">
        <v>469063.07584269717</v>
      </c>
      <c r="C18" s="6">
        <v>180874.01114358022</v>
      </c>
      <c r="D18" s="6">
        <v>2.5933138369466944</v>
      </c>
      <c r="E18" s="6">
        <v>1.4216123792680615E-2</v>
      </c>
      <c r="F18" s="6">
        <v>100634.77157896472</v>
      </c>
      <c r="G18" s="6">
        <v>837491.38010642957</v>
      </c>
      <c r="H18" s="6">
        <v>100634.77157896472</v>
      </c>
      <c r="I18" s="6">
        <v>837491.38010642957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FCCC-FA86-4601-98ED-A7745EE0B490}">
  <dimension ref="A1:I18"/>
  <sheetViews>
    <sheetView workbookViewId="0">
      <selection activeCell="D24" sqref="D24"/>
    </sheetView>
  </sheetViews>
  <sheetFormatPr defaultRowHeight="15.75" x14ac:dyDescent="0.25"/>
  <cols>
    <col min="2" max="2" width="10.875" customWidth="1"/>
    <col min="3" max="3" width="12.5" customWidth="1"/>
  </cols>
  <sheetData>
    <row r="1" spans="1:9" x14ac:dyDescent="0.25">
      <c r="A1" t="s">
        <v>42</v>
      </c>
    </row>
    <row r="2" spans="1:9" ht="16.5" thickBot="1" x14ac:dyDescent="0.3"/>
    <row r="3" spans="1:9" x14ac:dyDescent="0.25">
      <c r="A3" s="8" t="s">
        <v>43</v>
      </c>
      <c r="B3" s="8"/>
    </row>
    <row r="4" spans="1:9" x14ac:dyDescent="0.25">
      <c r="A4" t="s">
        <v>44</v>
      </c>
      <c r="B4">
        <v>0.64141444146035009</v>
      </c>
    </row>
    <row r="5" spans="1:9" x14ac:dyDescent="0.25">
      <c r="A5" t="s">
        <v>45</v>
      </c>
      <c r="B5">
        <v>0.41141248571389294</v>
      </c>
    </row>
    <row r="6" spans="1:9" x14ac:dyDescent="0.25">
      <c r="A6" t="s">
        <v>46</v>
      </c>
      <c r="B6">
        <v>0.39301912589245208</v>
      </c>
    </row>
    <row r="7" spans="1:9" x14ac:dyDescent="0.25">
      <c r="A7" t="s">
        <v>47</v>
      </c>
      <c r="B7">
        <v>987914.82781699416</v>
      </c>
    </row>
    <row r="8" spans="1:9" ht="16.5" thickBot="1" x14ac:dyDescent="0.3">
      <c r="A8" s="6" t="s">
        <v>48</v>
      </c>
      <c r="B8" s="6">
        <v>34</v>
      </c>
    </row>
    <row r="10" spans="1:9" ht="16.5" thickBot="1" x14ac:dyDescent="0.3">
      <c r="A10" t="s">
        <v>49</v>
      </c>
    </row>
    <row r="11" spans="1:9" x14ac:dyDescent="0.25">
      <c r="A11" s="7"/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</row>
    <row r="12" spans="1:9" x14ac:dyDescent="0.25">
      <c r="A12" t="s">
        <v>50</v>
      </c>
      <c r="B12">
        <v>1</v>
      </c>
      <c r="C12">
        <v>21830084091199.973</v>
      </c>
      <c r="D12">
        <v>21830084091199.973</v>
      </c>
      <c r="E12">
        <v>22.367446171216418</v>
      </c>
      <c r="F12">
        <v>4.3557764988424789E-5</v>
      </c>
    </row>
    <row r="13" spans="1:9" x14ac:dyDescent="0.25">
      <c r="A13" t="s">
        <v>51</v>
      </c>
      <c r="B13">
        <v>32</v>
      </c>
      <c r="C13">
        <v>31231222624661.801</v>
      </c>
      <c r="D13">
        <v>975975707020.68127</v>
      </c>
    </row>
    <row r="14" spans="1:9" ht="16.5" thickBot="1" x14ac:dyDescent="0.3">
      <c r="A14" s="6" t="s">
        <v>52</v>
      </c>
      <c r="B14" s="6">
        <v>33</v>
      </c>
      <c r="C14" s="6">
        <v>53061306715861.773</v>
      </c>
      <c r="D14" s="6"/>
      <c r="E14" s="6"/>
      <c r="F14" s="6"/>
    </row>
    <row r="15" spans="1:9" ht="16.5" thickBot="1" x14ac:dyDescent="0.3"/>
    <row r="16" spans="1:9" x14ac:dyDescent="0.25">
      <c r="A16" s="7"/>
      <c r="B16" s="7" t="s">
        <v>59</v>
      </c>
      <c r="C16" s="7" t="s">
        <v>47</v>
      </c>
      <c r="D16" s="7" t="s">
        <v>60</v>
      </c>
      <c r="E16" s="7" t="s">
        <v>61</v>
      </c>
      <c r="F16" s="7" t="s">
        <v>62</v>
      </c>
      <c r="G16" s="7" t="s">
        <v>63</v>
      </c>
      <c r="H16" s="7" t="s">
        <v>64</v>
      </c>
      <c r="I16" s="7" t="s">
        <v>65</v>
      </c>
    </row>
    <row r="17" spans="1:9" x14ac:dyDescent="0.25">
      <c r="A17" t="s">
        <v>53</v>
      </c>
      <c r="B17">
        <v>4066067.3634204268</v>
      </c>
      <c r="C17">
        <v>209872.36497572949</v>
      </c>
      <c r="D17">
        <v>19.374000783241012</v>
      </c>
      <c r="E17">
        <v>3.0587162905643812E-19</v>
      </c>
      <c r="F17">
        <v>3638571.3453305354</v>
      </c>
      <c r="G17">
        <v>4493563.3815103183</v>
      </c>
      <c r="H17">
        <v>3638571.3453305354</v>
      </c>
      <c r="I17">
        <v>4493563.3815103183</v>
      </c>
    </row>
    <row r="18" spans="1:9" ht="16.5" thickBot="1" x14ac:dyDescent="0.3">
      <c r="A18" s="6">
        <v>5</v>
      </c>
      <c r="B18" s="6">
        <v>663889.98812351597</v>
      </c>
      <c r="C18" s="6">
        <v>140374.40189389375</v>
      </c>
      <c r="D18" s="6">
        <v>4.7294234501909926</v>
      </c>
      <c r="E18" s="6">
        <v>4.3557764988424064E-5</v>
      </c>
      <c r="F18" s="6">
        <v>377956.688337575</v>
      </c>
      <c r="G18" s="6">
        <v>949823.28790945699</v>
      </c>
      <c r="H18" s="6">
        <v>377956.688337575</v>
      </c>
      <c r="I18" s="6">
        <v>949823.28790945699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94D3-DEF3-4EB7-9AE9-C89A7D2443F4}">
  <dimension ref="A1:I18"/>
  <sheetViews>
    <sheetView workbookViewId="0">
      <selection activeCell="M10" sqref="M10"/>
    </sheetView>
  </sheetViews>
  <sheetFormatPr defaultRowHeight="15.75" x14ac:dyDescent="0.25"/>
  <cols>
    <col min="2" max="2" width="11" customWidth="1"/>
    <col min="3" max="3" width="11.25" customWidth="1"/>
    <col min="4" max="4" width="10.375" customWidth="1"/>
    <col min="6" max="6" width="11.375" customWidth="1"/>
    <col min="7" max="7" width="9.75" customWidth="1"/>
    <col min="8" max="8" width="10.625" customWidth="1"/>
    <col min="9" max="9" width="11.75" customWidth="1"/>
  </cols>
  <sheetData>
    <row r="1" spans="1:9" x14ac:dyDescent="0.25">
      <c r="A1" t="s">
        <v>42</v>
      </c>
    </row>
    <row r="2" spans="1:9" ht="16.5" thickBot="1" x14ac:dyDescent="0.3"/>
    <row r="3" spans="1:9" x14ac:dyDescent="0.25">
      <c r="A3" s="8" t="s">
        <v>43</v>
      </c>
      <c r="B3" s="8"/>
    </row>
    <row r="4" spans="1:9" x14ac:dyDescent="0.25">
      <c r="A4" t="s">
        <v>44</v>
      </c>
      <c r="B4">
        <v>0.86156815276293042</v>
      </c>
    </row>
    <row r="5" spans="1:9" x14ac:dyDescent="0.25">
      <c r="A5" t="s">
        <v>45</v>
      </c>
      <c r="B5">
        <v>0.74229968185532813</v>
      </c>
    </row>
    <row r="6" spans="1:9" x14ac:dyDescent="0.25">
      <c r="A6" t="s">
        <v>46</v>
      </c>
      <c r="B6">
        <v>0.73424654691330715</v>
      </c>
    </row>
    <row r="7" spans="1:9" x14ac:dyDescent="0.25">
      <c r="A7" t="s">
        <v>47</v>
      </c>
      <c r="B7">
        <v>653689.42410199647</v>
      </c>
    </row>
    <row r="8" spans="1:9" ht="16.5" thickBot="1" x14ac:dyDescent="0.3">
      <c r="A8" s="6" t="s">
        <v>48</v>
      </c>
      <c r="B8" s="6">
        <v>34</v>
      </c>
    </row>
    <row r="10" spans="1:9" ht="16.5" thickBot="1" x14ac:dyDescent="0.3">
      <c r="A10" t="s">
        <v>49</v>
      </c>
    </row>
    <row r="11" spans="1:9" x14ac:dyDescent="0.25">
      <c r="A11" s="7"/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</row>
    <row r="12" spans="1:9" x14ac:dyDescent="0.25">
      <c r="A12" t="s">
        <v>50</v>
      </c>
      <c r="B12">
        <v>1</v>
      </c>
      <c r="C12">
        <v>39387391094012.18</v>
      </c>
      <c r="D12">
        <v>39387391094012.18</v>
      </c>
      <c r="E12">
        <v>92.175244448225072</v>
      </c>
      <c r="F12">
        <v>6.0839983706537629E-11</v>
      </c>
    </row>
    <row r="13" spans="1:9" x14ac:dyDescent="0.25">
      <c r="A13" t="s">
        <v>51</v>
      </c>
      <c r="B13">
        <v>32</v>
      </c>
      <c r="C13">
        <v>13673915621849.592</v>
      </c>
      <c r="D13">
        <v>427309863182.79974</v>
      </c>
    </row>
    <row r="14" spans="1:9" ht="16.5" thickBot="1" x14ac:dyDescent="0.3">
      <c r="A14" s="6" t="s">
        <v>52</v>
      </c>
      <c r="B14" s="6">
        <v>33</v>
      </c>
      <c r="C14" s="6">
        <v>53061306715861.773</v>
      </c>
      <c r="D14" s="6"/>
      <c r="E14" s="6"/>
      <c r="F14" s="6"/>
    </row>
    <row r="15" spans="1:9" ht="16.5" thickBot="1" x14ac:dyDescent="0.3"/>
    <row r="16" spans="1:9" x14ac:dyDescent="0.25">
      <c r="A16" s="7"/>
      <c r="B16" s="7" t="s">
        <v>59</v>
      </c>
      <c r="C16" s="7" t="s">
        <v>47</v>
      </c>
      <c r="D16" s="7" t="s">
        <v>60</v>
      </c>
      <c r="E16" s="7" t="s">
        <v>61</v>
      </c>
      <c r="F16" s="7" t="s">
        <v>62</v>
      </c>
      <c r="G16" s="7" t="s">
        <v>63</v>
      </c>
      <c r="H16" s="7" t="s">
        <v>64</v>
      </c>
      <c r="I16" s="7" t="s">
        <v>65</v>
      </c>
    </row>
    <row r="17" spans="1:9" x14ac:dyDescent="0.25">
      <c r="A17" t="s">
        <v>53</v>
      </c>
      <c r="B17">
        <v>3533997.5709166904</v>
      </c>
      <c r="C17">
        <v>161631.43924338976</v>
      </c>
      <c r="D17">
        <v>21.864543107823749</v>
      </c>
      <c r="E17">
        <v>8.3114031508155632E-21</v>
      </c>
      <c r="F17">
        <v>3204765.1029703841</v>
      </c>
      <c r="G17">
        <v>3863230.0388629967</v>
      </c>
      <c r="H17">
        <v>3204765.1029703841</v>
      </c>
      <c r="I17">
        <v>3863230.0388629967</v>
      </c>
    </row>
    <row r="18" spans="1:9" ht="16.5" thickBot="1" x14ac:dyDescent="0.3">
      <c r="A18" s="6">
        <v>9</v>
      </c>
      <c r="B18" s="6">
        <v>223571.01522842655</v>
      </c>
      <c r="C18" s="6">
        <v>23286.721537781406</v>
      </c>
      <c r="D18" s="6">
        <v>9.6007939488474179</v>
      </c>
      <c r="E18" s="6">
        <v>6.083998370653675E-11</v>
      </c>
      <c r="F18" s="6">
        <v>176137.51566824911</v>
      </c>
      <c r="G18" s="6">
        <v>271004.51478860399</v>
      </c>
      <c r="H18" s="6">
        <v>176137.51566824911</v>
      </c>
      <c r="I18" s="6">
        <v>271004.51478860399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A86B-3E94-429E-9201-B1D71D646B44}">
  <dimension ref="A1:I18"/>
  <sheetViews>
    <sheetView workbookViewId="0">
      <selection activeCell="C28" sqref="C28"/>
    </sheetView>
  </sheetViews>
  <sheetFormatPr defaultRowHeight="15.75" x14ac:dyDescent="0.25"/>
  <cols>
    <col min="1" max="2" width="10.625" customWidth="1"/>
  </cols>
  <sheetData>
    <row r="1" spans="1:9" x14ac:dyDescent="0.25">
      <c r="A1" t="s">
        <v>42</v>
      </c>
    </row>
    <row r="2" spans="1:9" ht="16.5" thickBot="1" x14ac:dyDescent="0.3"/>
    <row r="3" spans="1:9" x14ac:dyDescent="0.25">
      <c r="A3" s="8" t="s">
        <v>43</v>
      </c>
      <c r="B3" s="8"/>
    </row>
    <row r="4" spans="1:9" x14ac:dyDescent="0.25">
      <c r="A4" t="s">
        <v>44</v>
      </c>
      <c r="B4">
        <v>0.89261080959122008</v>
      </c>
    </row>
    <row r="5" spans="1:9" x14ac:dyDescent="0.25">
      <c r="A5" t="s">
        <v>45</v>
      </c>
      <c r="B5">
        <v>0.79675405739909333</v>
      </c>
    </row>
    <row r="6" spans="1:9" x14ac:dyDescent="0.25">
      <c r="A6" t="s">
        <v>46</v>
      </c>
      <c r="B6">
        <v>0.79040262169281494</v>
      </c>
    </row>
    <row r="7" spans="1:9" x14ac:dyDescent="0.25">
      <c r="A7" t="s">
        <v>47</v>
      </c>
      <c r="B7">
        <v>580530.342098422</v>
      </c>
    </row>
    <row r="8" spans="1:9" ht="16.5" thickBot="1" x14ac:dyDescent="0.3">
      <c r="A8" s="6" t="s">
        <v>48</v>
      </c>
      <c r="B8" s="6">
        <v>34</v>
      </c>
    </row>
    <row r="10" spans="1:9" ht="16.5" thickBot="1" x14ac:dyDescent="0.3">
      <c r="A10" t="s">
        <v>49</v>
      </c>
    </row>
    <row r="11" spans="1:9" x14ac:dyDescent="0.25">
      <c r="A11" s="7"/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</row>
    <row r="12" spans="1:9" x14ac:dyDescent="0.25">
      <c r="A12" t="s">
        <v>50</v>
      </c>
      <c r="B12">
        <v>1</v>
      </c>
      <c r="C12">
        <v>42276811416760.625</v>
      </c>
      <c r="D12">
        <v>42276811416760.625</v>
      </c>
      <c r="E12">
        <v>125.44471742215849</v>
      </c>
      <c r="F12">
        <v>1.3196463944043349E-12</v>
      </c>
    </row>
    <row r="13" spans="1:9" x14ac:dyDescent="0.25">
      <c r="A13" t="s">
        <v>51</v>
      </c>
      <c r="B13">
        <v>32</v>
      </c>
      <c r="C13">
        <v>10784495299101.146</v>
      </c>
      <c r="D13">
        <v>337015478096.91083</v>
      </c>
    </row>
    <row r="14" spans="1:9" ht="16.5" thickBot="1" x14ac:dyDescent="0.3">
      <c r="A14" s="6" t="s">
        <v>52</v>
      </c>
      <c r="B14" s="6">
        <v>33</v>
      </c>
      <c r="C14" s="6">
        <v>53061306715861.773</v>
      </c>
      <c r="D14" s="6"/>
      <c r="E14" s="6"/>
      <c r="F14" s="6"/>
    </row>
    <row r="15" spans="1:9" ht="16.5" thickBot="1" x14ac:dyDescent="0.3"/>
    <row r="16" spans="1:9" x14ac:dyDescent="0.25">
      <c r="A16" s="7"/>
      <c r="B16" s="7" t="s">
        <v>59</v>
      </c>
      <c r="C16" s="7" t="s">
        <v>47</v>
      </c>
      <c r="D16" s="7" t="s">
        <v>60</v>
      </c>
      <c r="E16" s="7" t="s">
        <v>61</v>
      </c>
      <c r="F16" s="7" t="s">
        <v>62</v>
      </c>
      <c r="G16" s="7" t="s">
        <v>63</v>
      </c>
      <c r="H16" s="7" t="s">
        <v>64</v>
      </c>
      <c r="I16" s="7" t="s">
        <v>65</v>
      </c>
    </row>
    <row r="17" spans="1:9" x14ac:dyDescent="0.25">
      <c r="A17" t="s">
        <v>53</v>
      </c>
      <c r="B17">
        <v>3059224.1083124764</v>
      </c>
      <c r="C17">
        <v>173585.73819728455</v>
      </c>
      <c r="D17">
        <v>17.623706533053952</v>
      </c>
      <c r="E17">
        <v>4.9188301268861045E-18</v>
      </c>
      <c r="F17">
        <v>2705641.5302292919</v>
      </c>
      <c r="G17">
        <v>3412806.686395661</v>
      </c>
      <c r="H17">
        <v>2705641.5302292919</v>
      </c>
      <c r="I17">
        <v>3412806.686395661</v>
      </c>
    </row>
    <row r="18" spans="1:9" ht="16.5" thickBot="1" x14ac:dyDescent="0.3">
      <c r="A18" s="6">
        <v>19</v>
      </c>
      <c r="B18" s="6">
        <v>159732.6558034684</v>
      </c>
      <c r="C18" s="6">
        <v>14261.5761031373</v>
      </c>
      <c r="D18" s="6">
        <v>11.20021059722354</v>
      </c>
      <c r="E18" s="6">
        <v>1.3196463944043349E-12</v>
      </c>
      <c r="F18" s="6">
        <v>130682.77590869425</v>
      </c>
      <c r="G18" s="6">
        <v>188782.53569824254</v>
      </c>
      <c r="H18" s="6">
        <v>130682.77590869425</v>
      </c>
      <c r="I18" s="6">
        <v>188782.53569824254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25F1-7730-47AD-8913-043F051B510B}">
  <dimension ref="A1:I21"/>
  <sheetViews>
    <sheetView topLeftCell="A3" workbookViewId="0">
      <selection activeCell="M32" sqref="M32"/>
    </sheetView>
  </sheetViews>
  <sheetFormatPr defaultRowHeight="15.75" x14ac:dyDescent="0.25"/>
  <sheetData>
    <row r="1" spans="1:9" x14ac:dyDescent="0.25">
      <c r="A1" t="s">
        <v>42</v>
      </c>
    </row>
    <row r="2" spans="1:9" ht="16.5" thickBot="1" x14ac:dyDescent="0.3"/>
    <row r="3" spans="1:9" x14ac:dyDescent="0.25">
      <c r="A3" s="12" t="s">
        <v>43</v>
      </c>
      <c r="B3" s="12"/>
    </row>
    <row r="4" spans="1:9" x14ac:dyDescent="0.25">
      <c r="A4" s="9" t="s">
        <v>44</v>
      </c>
      <c r="B4" s="9">
        <v>0.90580815932528957</v>
      </c>
    </row>
    <row r="5" spans="1:9" x14ac:dyDescent="0.25">
      <c r="A5" s="9" t="s">
        <v>45</v>
      </c>
      <c r="B5" s="9">
        <v>0.82048842150026924</v>
      </c>
    </row>
    <row r="6" spans="1:9" x14ac:dyDescent="0.25">
      <c r="A6" s="9" t="s">
        <v>46</v>
      </c>
      <c r="B6" s="9">
        <v>0.79655354436697179</v>
      </c>
    </row>
    <row r="7" spans="1:9" x14ac:dyDescent="0.25">
      <c r="A7" s="9" t="s">
        <v>47</v>
      </c>
      <c r="B7" s="9">
        <v>581382.19679471105</v>
      </c>
    </row>
    <row r="8" spans="1:9" ht="16.5" thickBot="1" x14ac:dyDescent="0.3">
      <c r="A8" s="10" t="s">
        <v>48</v>
      </c>
      <c r="B8" s="10">
        <v>35</v>
      </c>
    </row>
    <row r="10" spans="1:9" ht="16.5" thickBot="1" x14ac:dyDescent="0.3">
      <c r="A10" t="s">
        <v>49</v>
      </c>
    </row>
    <row r="11" spans="1:9" x14ac:dyDescent="0.25">
      <c r="A11" s="11"/>
      <c r="B11" s="11" t="s">
        <v>54</v>
      </c>
      <c r="C11" s="11" t="s">
        <v>55</v>
      </c>
      <c r="D11" s="11" t="s">
        <v>56</v>
      </c>
      <c r="E11" s="11" t="s">
        <v>57</v>
      </c>
      <c r="F11" s="11" t="s">
        <v>58</v>
      </c>
    </row>
    <row r="12" spans="1:9" x14ac:dyDescent="0.25">
      <c r="A12" s="9" t="s">
        <v>50</v>
      </c>
      <c r="B12" s="9">
        <v>4</v>
      </c>
      <c r="C12" s="9">
        <v>46347328154801.813</v>
      </c>
      <c r="D12" s="9">
        <v>11586832038700.453</v>
      </c>
      <c r="E12" s="9">
        <v>34.280034818262415</v>
      </c>
      <c r="F12" s="9">
        <v>8.6194150561294526E-11</v>
      </c>
    </row>
    <row r="13" spans="1:9" x14ac:dyDescent="0.25">
      <c r="A13" s="9" t="s">
        <v>51</v>
      </c>
      <c r="B13" s="9">
        <v>30</v>
      </c>
      <c r="C13" s="9">
        <v>10140157762495.324</v>
      </c>
      <c r="D13" s="9">
        <v>338005258749.84412</v>
      </c>
      <c r="E13" s="9"/>
      <c r="F13" s="9"/>
    </row>
    <row r="14" spans="1:9" ht="16.5" thickBot="1" x14ac:dyDescent="0.3">
      <c r="A14" s="10" t="s">
        <v>52</v>
      </c>
      <c r="B14" s="10">
        <v>34</v>
      </c>
      <c r="C14" s="10">
        <v>56487485917297.141</v>
      </c>
      <c r="D14" s="10"/>
      <c r="E14" s="10"/>
      <c r="F14" s="10"/>
    </row>
    <row r="15" spans="1:9" ht="16.5" thickBot="1" x14ac:dyDescent="0.3"/>
    <row r="16" spans="1:9" x14ac:dyDescent="0.25">
      <c r="A16" s="11"/>
      <c r="B16" s="11" t="s">
        <v>59</v>
      </c>
      <c r="C16" s="11" t="s">
        <v>47</v>
      </c>
      <c r="D16" s="11" t="s">
        <v>60</v>
      </c>
      <c r="E16" s="11" t="s">
        <v>61</v>
      </c>
      <c r="F16" s="11" t="s">
        <v>62</v>
      </c>
      <c r="G16" s="11" t="s">
        <v>63</v>
      </c>
      <c r="H16" s="11" t="s">
        <v>64</v>
      </c>
      <c r="I16" s="11" t="s">
        <v>65</v>
      </c>
    </row>
    <row r="17" spans="1:9" x14ac:dyDescent="0.25">
      <c r="A17" s="9" t="s">
        <v>53</v>
      </c>
      <c r="B17" s="9">
        <v>3140367.0869206493</v>
      </c>
      <c r="C17" s="9">
        <v>184229.02428764632</v>
      </c>
      <c r="D17" s="9">
        <v>17.045995325999399</v>
      </c>
      <c r="E17" s="9">
        <v>5.5945385799895375E-17</v>
      </c>
      <c r="F17" s="9">
        <v>2764121.2249667374</v>
      </c>
      <c r="G17" s="9">
        <v>3516612.9488745611</v>
      </c>
      <c r="H17" s="9">
        <v>2764121.2249667374</v>
      </c>
      <c r="I17" s="9">
        <v>3516612.9488745611</v>
      </c>
    </row>
    <row r="18" spans="1:9" x14ac:dyDescent="0.25">
      <c r="A18" s="9" t="s">
        <v>2</v>
      </c>
      <c r="B18" s="9">
        <v>-12938.920801938348</v>
      </c>
      <c r="C18" s="9">
        <v>107205.07514534681</v>
      </c>
      <c r="D18" s="9">
        <v>-0.12069317412814626</v>
      </c>
      <c r="E18" s="9">
        <v>0.90473880156500486</v>
      </c>
      <c r="F18" s="9">
        <v>-231880.89294698453</v>
      </c>
      <c r="G18" s="9">
        <v>206003.05134310786</v>
      </c>
      <c r="H18" s="9">
        <v>-231880.89294698453</v>
      </c>
      <c r="I18" s="9">
        <v>206003.05134310786</v>
      </c>
    </row>
    <row r="19" spans="1:9" x14ac:dyDescent="0.25">
      <c r="A19" s="9" t="s">
        <v>3</v>
      </c>
      <c r="B19" s="9">
        <v>13544.812687441699</v>
      </c>
      <c r="C19" s="9">
        <v>111226.21629834718</v>
      </c>
      <c r="D19" s="9">
        <v>0.12177715954222364</v>
      </c>
      <c r="E19" s="9">
        <v>0.90388756979437257</v>
      </c>
      <c r="F19" s="9">
        <v>-213609.42527727655</v>
      </c>
      <c r="G19" s="9">
        <v>240699.05065215996</v>
      </c>
      <c r="H19" s="9">
        <v>-213609.42527727655</v>
      </c>
      <c r="I19" s="9">
        <v>240699.05065215996</v>
      </c>
    </row>
    <row r="20" spans="1:9" x14ac:dyDescent="0.25">
      <c r="A20" s="9" t="s">
        <v>4</v>
      </c>
      <c r="B20" s="9">
        <v>71629.3932794516</v>
      </c>
      <c r="C20" s="9">
        <v>50666.867707044883</v>
      </c>
      <c r="D20" s="9">
        <v>1.4137324157003694</v>
      </c>
      <c r="E20" s="9">
        <v>0.16773416250212375</v>
      </c>
      <c r="F20" s="9">
        <v>-31846.155085704813</v>
      </c>
      <c r="G20" s="9">
        <v>175104.94164460801</v>
      </c>
      <c r="H20" s="9">
        <v>-31846.155085704813</v>
      </c>
      <c r="I20" s="9">
        <v>175104.94164460801</v>
      </c>
    </row>
    <row r="21" spans="1:9" ht="16.5" thickBot="1" x14ac:dyDescent="0.3">
      <c r="A21" s="10" t="s">
        <v>5</v>
      </c>
      <c r="B21" s="10">
        <v>117070.57682446633</v>
      </c>
      <c r="C21" s="10">
        <v>33432.88381531903</v>
      </c>
      <c r="D21" s="10">
        <v>3.5016595478618062</v>
      </c>
      <c r="E21" s="10">
        <v>1.470314344780265E-3</v>
      </c>
      <c r="F21" s="10">
        <v>48791.519073720847</v>
      </c>
      <c r="G21" s="10">
        <v>185349.63457521182</v>
      </c>
      <c r="H21" s="10">
        <v>48791.519073720847</v>
      </c>
      <c r="I21" s="10">
        <v>185349.63457521182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41C7-AADC-4AF3-83C3-E5BFE1BF7352}">
  <dimension ref="A1:I21"/>
  <sheetViews>
    <sheetView tabSelected="1" workbookViewId="0">
      <selection activeCell="L29" sqref="L29"/>
    </sheetView>
  </sheetViews>
  <sheetFormatPr defaultRowHeight="15.75" x14ac:dyDescent="0.25"/>
  <sheetData>
    <row r="1" spans="1:9" x14ac:dyDescent="0.25">
      <c r="A1" t="s">
        <v>42</v>
      </c>
    </row>
    <row r="2" spans="1:9" ht="16.5" thickBot="1" x14ac:dyDescent="0.3"/>
    <row r="3" spans="1:9" x14ac:dyDescent="0.25">
      <c r="A3" s="12" t="s">
        <v>43</v>
      </c>
      <c r="B3" s="12"/>
    </row>
    <row r="4" spans="1:9" x14ac:dyDescent="0.25">
      <c r="A4" s="9" t="s">
        <v>44</v>
      </c>
      <c r="B4" s="9">
        <v>0.90580815932528957</v>
      </c>
    </row>
    <row r="5" spans="1:9" x14ac:dyDescent="0.25">
      <c r="A5" s="9" t="s">
        <v>45</v>
      </c>
      <c r="B5" s="9">
        <v>0.82048842150026924</v>
      </c>
    </row>
    <row r="6" spans="1:9" x14ac:dyDescent="0.25">
      <c r="A6" s="9" t="s">
        <v>46</v>
      </c>
      <c r="B6" s="9">
        <v>0.79655354436697179</v>
      </c>
    </row>
    <row r="7" spans="1:9" x14ac:dyDescent="0.25">
      <c r="A7" s="9" t="s">
        <v>47</v>
      </c>
      <c r="B7" s="9">
        <v>581382.19679471094</v>
      </c>
    </row>
    <row r="8" spans="1:9" ht="16.5" thickBot="1" x14ac:dyDescent="0.3">
      <c r="A8" s="10" t="s">
        <v>48</v>
      </c>
      <c r="B8" s="10">
        <v>35</v>
      </c>
    </row>
    <row r="10" spans="1:9" ht="16.5" thickBot="1" x14ac:dyDescent="0.3">
      <c r="A10" t="s">
        <v>49</v>
      </c>
    </row>
    <row r="11" spans="1:9" x14ac:dyDescent="0.25">
      <c r="A11" s="11"/>
      <c r="B11" s="11" t="s">
        <v>54</v>
      </c>
      <c r="C11" s="11" t="s">
        <v>55</v>
      </c>
      <c r="D11" s="11" t="s">
        <v>56</v>
      </c>
      <c r="E11" s="11" t="s">
        <v>57</v>
      </c>
      <c r="F11" s="11" t="s">
        <v>58</v>
      </c>
    </row>
    <row r="12" spans="1:9" x14ac:dyDescent="0.25">
      <c r="A12" s="9" t="s">
        <v>50</v>
      </c>
      <c r="B12" s="9">
        <v>4</v>
      </c>
      <c r="C12" s="9">
        <v>46347328154801.813</v>
      </c>
      <c r="D12" s="9">
        <v>11586832038700.453</v>
      </c>
      <c r="E12" s="9">
        <v>34.280034818262436</v>
      </c>
      <c r="F12" s="9">
        <v>8.6194150561293919E-11</v>
      </c>
    </row>
    <row r="13" spans="1:9" x14ac:dyDescent="0.25">
      <c r="A13" s="9" t="s">
        <v>51</v>
      </c>
      <c r="B13" s="9">
        <v>30</v>
      </c>
      <c r="C13" s="9">
        <v>10140157762495.318</v>
      </c>
      <c r="D13" s="9">
        <v>338005258749.84393</v>
      </c>
      <c r="E13" s="9"/>
      <c r="F13" s="9"/>
    </row>
    <row r="14" spans="1:9" ht="16.5" thickBot="1" x14ac:dyDescent="0.3">
      <c r="A14" s="10" t="s">
        <v>52</v>
      </c>
      <c r="B14" s="10">
        <v>34</v>
      </c>
      <c r="C14" s="10">
        <v>56487485917297.133</v>
      </c>
      <c r="D14" s="10"/>
      <c r="E14" s="10"/>
      <c r="F14" s="10"/>
    </row>
    <row r="15" spans="1:9" ht="16.5" thickBot="1" x14ac:dyDescent="0.3"/>
    <row r="16" spans="1:9" x14ac:dyDescent="0.25">
      <c r="A16" s="11"/>
      <c r="B16" s="11" t="s">
        <v>59</v>
      </c>
      <c r="C16" s="11" t="s">
        <v>47</v>
      </c>
      <c r="D16" s="11" t="s">
        <v>60</v>
      </c>
      <c r="E16" s="11" t="s">
        <v>61</v>
      </c>
      <c r="F16" s="11" t="s">
        <v>62</v>
      </c>
      <c r="G16" s="11" t="s">
        <v>63</v>
      </c>
      <c r="H16" s="11" t="s">
        <v>64</v>
      </c>
      <c r="I16" s="11" t="s">
        <v>65</v>
      </c>
    </row>
    <row r="17" spans="1:9" x14ac:dyDescent="0.25">
      <c r="A17" s="9" t="s">
        <v>53</v>
      </c>
      <c r="B17" s="9">
        <v>3140367.0869206511</v>
      </c>
      <c r="C17" s="9">
        <v>184229.02428764629</v>
      </c>
      <c r="D17" s="9">
        <v>17.045995325999414</v>
      </c>
      <c r="E17" s="9">
        <v>5.594538579989418E-17</v>
      </c>
      <c r="F17" s="9">
        <v>2764121.2249667393</v>
      </c>
      <c r="G17" s="9">
        <v>3516612.948874563</v>
      </c>
      <c r="H17" s="9">
        <v>2764121.2249667393</v>
      </c>
      <c r="I17" s="9">
        <v>3516612.948874563</v>
      </c>
    </row>
    <row r="18" spans="1:9" x14ac:dyDescent="0.25">
      <c r="A18" s="9" t="s">
        <v>2</v>
      </c>
      <c r="B18" s="9">
        <v>-12938.920801938435</v>
      </c>
      <c r="C18" s="9">
        <v>107205.07514534674</v>
      </c>
      <c r="D18" s="9">
        <v>-0.12069317412814716</v>
      </c>
      <c r="E18" s="9">
        <v>0.90473880156500419</v>
      </c>
      <c r="F18" s="9">
        <v>-231880.89294698447</v>
      </c>
      <c r="G18" s="9">
        <v>206003.05134310763</v>
      </c>
      <c r="H18" s="9">
        <v>-231880.89294698447</v>
      </c>
      <c r="I18" s="9">
        <v>206003.05134310763</v>
      </c>
    </row>
    <row r="19" spans="1:9" x14ac:dyDescent="0.25">
      <c r="A19" s="9" t="s">
        <v>3</v>
      </c>
      <c r="B19" s="9">
        <v>202244.78279135964</v>
      </c>
      <c r="C19" s="9">
        <v>90225.868339061373</v>
      </c>
      <c r="D19" s="9">
        <v>2.2415387794478234</v>
      </c>
      <c r="E19" s="9">
        <v>3.2541534847459037E-2</v>
      </c>
      <c r="F19" s="9">
        <v>17978.977036632685</v>
      </c>
      <c r="G19" s="9">
        <v>386510.58854608657</v>
      </c>
      <c r="H19" s="9">
        <v>17978.977036632685</v>
      </c>
      <c r="I19" s="9">
        <v>386510.58854608657</v>
      </c>
    </row>
    <row r="20" spans="1:9" x14ac:dyDescent="0.25">
      <c r="A20" s="9" t="s">
        <v>66</v>
      </c>
      <c r="B20" s="9">
        <v>188699.97010391767</v>
      </c>
      <c r="C20" s="9">
        <v>34586.32225625556</v>
      </c>
      <c r="D20" s="9">
        <v>5.4559131412067927</v>
      </c>
      <c r="E20" s="9">
        <v>6.4302807563853849E-6</v>
      </c>
      <c r="F20" s="9">
        <v>118065.27679520847</v>
      </c>
      <c r="G20" s="9">
        <v>259334.66341262689</v>
      </c>
      <c r="H20" s="9">
        <v>118065.27679520847</v>
      </c>
      <c r="I20" s="9">
        <v>259334.66341262689</v>
      </c>
    </row>
    <row r="21" spans="1:9" ht="16.5" thickBot="1" x14ac:dyDescent="0.3">
      <c r="A21" s="10" t="s">
        <v>67</v>
      </c>
      <c r="B21" s="10">
        <v>117070.57682446629</v>
      </c>
      <c r="C21" s="10">
        <v>33432.88381531903</v>
      </c>
      <c r="D21" s="10">
        <v>3.5016595478618049</v>
      </c>
      <c r="E21" s="10">
        <v>1.4703143447802674E-3</v>
      </c>
      <c r="F21" s="10">
        <v>48791.519073720803</v>
      </c>
      <c r="G21" s="10">
        <v>185349.63457521179</v>
      </c>
      <c r="H21" s="10">
        <v>48791.519073720803</v>
      </c>
      <c r="I21" s="10">
        <v>185349.63457521179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opLeftCell="A16" workbookViewId="0">
      <selection activeCell="T11" sqref="T11"/>
    </sheetView>
  </sheetViews>
  <sheetFormatPr defaultRowHeight="15" x14ac:dyDescent="0.25"/>
  <cols>
    <col min="1" max="1" width="15.5" style="2" bestFit="1" customWidth="1"/>
    <col min="2" max="6" width="9" style="2"/>
    <col min="7" max="7" width="11.5" style="2" bestFit="1" customWidth="1"/>
    <col min="8" max="16384" width="9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67</v>
      </c>
      <c r="N1" s="1" t="s">
        <v>2</v>
      </c>
      <c r="O1" s="1" t="s">
        <v>3</v>
      </c>
      <c r="P1" s="1" t="s">
        <v>66</v>
      </c>
      <c r="Q1" s="1" t="s">
        <v>67</v>
      </c>
    </row>
    <row r="2" spans="1:17" x14ac:dyDescent="0.25">
      <c r="A2" s="3" t="s">
        <v>7</v>
      </c>
      <c r="B2" s="4">
        <v>2403</v>
      </c>
      <c r="C2" s="4">
        <v>1</v>
      </c>
      <c r="D2" s="4">
        <v>5</v>
      </c>
      <c r="E2" s="4">
        <v>9</v>
      </c>
      <c r="F2" s="4">
        <v>19</v>
      </c>
      <c r="G2" s="5">
        <v>6529870</v>
      </c>
      <c r="H2" s="4">
        <f>E2-D2</f>
        <v>4</v>
      </c>
      <c r="I2" s="4">
        <f>F2-E2</f>
        <v>10</v>
      </c>
      <c r="N2" s="4">
        <v>1</v>
      </c>
      <c r="O2" s="4">
        <v>5</v>
      </c>
      <c r="P2" s="4">
        <v>4</v>
      </c>
      <c r="Q2" s="4">
        <v>10</v>
      </c>
    </row>
    <row r="3" spans="1:17" x14ac:dyDescent="0.25">
      <c r="A3" s="3" t="s">
        <v>8</v>
      </c>
      <c r="B3" s="4">
        <v>2403</v>
      </c>
      <c r="C3" s="4">
        <v>3</v>
      </c>
      <c r="D3" s="4">
        <v>1</v>
      </c>
      <c r="E3" s="4">
        <v>19</v>
      </c>
      <c r="F3" s="4">
        <v>26</v>
      </c>
      <c r="G3" s="5">
        <v>8485990</v>
      </c>
      <c r="H3" s="4">
        <f t="shared" ref="H3:H36" si="0">E3-D3</f>
        <v>18</v>
      </c>
      <c r="I3" s="4">
        <f t="shared" ref="I3:I36" si="1">F3-E3</f>
        <v>7</v>
      </c>
      <c r="N3" s="4">
        <v>3</v>
      </c>
      <c r="O3" s="4">
        <v>1</v>
      </c>
      <c r="P3" s="4">
        <v>18</v>
      </c>
      <c r="Q3" s="4">
        <v>7</v>
      </c>
    </row>
    <row r="4" spans="1:17" x14ac:dyDescent="0.25">
      <c r="A4" s="3" t="s">
        <v>9</v>
      </c>
      <c r="B4" s="4">
        <v>2345</v>
      </c>
      <c r="C4" s="4">
        <v>0</v>
      </c>
      <c r="D4" s="4">
        <v>4</v>
      </c>
      <c r="E4" s="4">
        <v>9</v>
      </c>
      <c r="F4" s="4">
        <v>19</v>
      </c>
      <c r="G4" s="5">
        <v>6197140</v>
      </c>
      <c r="H4" s="4">
        <f t="shared" si="0"/>
        <v>5</v>
      </c>
      <c r="I4" s="4">
        <f t="shared" si="1"/>
        <v>10</v>
      </c>
      <c r="N4" s="4">
        <v>0</v>
      </c>
      <c r="O4" s="4">
        <v>4</v>
      </c>
      <c r="P4" s="4">
        <v>5</v>
      </c>
      <c r="Q4" s="4">
        <v>10</v>
      </c>
    </row>
    <row r="5" spans="1:17" x14ac:dyDescent="0.25">
      <c r="A5" s="3" t="s">
        <v>10</v>
      </c>
      <c r="B5" s="4">
        <v>2330</v>
      </c>
      <c r="C5" s="4">
        <v>3</v>
      </c>
      <c r="D5" s="4">
        <v>3</v>
      </c>
      <c r="E5" s="4">
        <v>12</v>
      </c>
      <c r="F5" s="4">
        <v>20</v>
      </c>
      <c r="G5" s="5">
        <v>6183580</v>
      </c>
      <c r="H5" s="4">
        <f t="shared" si="0"/>
        <v>9</v>
      </c>
      <c r="I5" s="4">
        <f t="shared" si="1"/>
        <v>8</v>
      </c>
      <c r="N5" s="4">
        <v>3</v>
      </c>
      <c r="O5" s="4">
        <v>3</v>
      </c>
      <c r="P5" s="4">
        <v>9</v>
      </c>
      <c r="Q5" s="4">
        <v>8</v>
      </c>
    </row>
    <row r="6" spans="1:17" x14ac:dyDescent="0.25">
      <c r="A6" s="3" t="s">
        <v>11</v>
      </c>
      <c r="B6" s="4">
        <v>2319</v>
      </c>
      <c r="C6" s="4">
        <v>1</v>
      </c>
      <c r="D6" s="4">
        <v>3</v>
      </c>
      <c r="E6" s="4">
        <v>10</v>
      </c>
      <c r="F6" s="4">
        <v>14</v>
      </c>
      <c r="G6" s="5">
        <v>5087740</v>
      </c>
      <c r="H6" s="4">
        <f t="shared" si="0"/>
        <v>7</v>
      </c>
      <c r="I6" s="4">
        <f t="shared" si="1"/>
        <v>4</v>
      </c>
      <c r="N6" s="4">
        <v>1</v>
      </c>
      <c r="O6" s="4">
        <v>3</v>
      </c>
      <c r="P6" s="4">
        <v>7</v>
      </c>
      <c r="Q6" s="4">
        <v>4</v>
      </c>
    </row>
    <row r="7" spans="1:17" x14ac:dyDescent="0.25">
      <c r="A7" s="3" t="s">
        <v>12</v>
      </c>
      <c r="B7" s="4">
        <v>2304</v>
      </c>
      <c r="C7" s="4">
        <v>0</v>
      </c>
      <c r="D7" s="4">
        <v>2</v>
      </c>
      <c r="E7" s="4">
        <v>14</v>
      </c>
      <c r="F7" s="4">
        <v>21</v>
      </c>
      <c r="G7" s="5">
        <v>6296360</v>
      </c>
      <c r="H7" s="4">
        <f t="shared" si="0"/>
        <v>12</v>
      </c>
      <c r="I7" s="4">
        <f t="shared" si="1"/>
        <v>7</v>
      </c>
      <c r="N7" s="4">
        <v>0</v>
      </c>
      <c r="O7" s="4">
        <v>2</v>
      </c>
      <c r="P7" s="4">
        <v>12</v>
      </c>
      <c r="Q7" s="4">
        <v>7</v>
      </c>
    </row>
    <row r="8" spans="1:17" x14ac:dyDescent="0.25">
      <c r="A8" s="3" t="s">
        <v>13</v>
      </c>
      <c r="B8" s="4">
        <v>2290</v>
      </c>
      <c r="C8" s="4">
        <v>1</v>
      </c>
      <c r="D8" s="4">
        <v>0</v>
      </c>
      <c r="E8" s="4">
        <v>4</v>
      </c>
      <c r="F8" s="4">
        <v>12</v>
      </c>
      <c r="G8" s="5">
        <v>4163690</v>
      </c>
      <c r="H8" s="4">
        <f t="shared" si="0"/>
        <v>4</v>
      </c>
      <c r="I8" s="4">
        <f t="shared" si="1"/>
        <v>8</v>
      </c>
      <c r="N8" s="4">
        <v>1</v>
      </c>
      <c r="O8" s="4">
        <v>0</v>
      </c>
      <c r="P8" s="4">
        <v>4</v>
      </c>
      <c r="Q8" s="4">
        <v>8</v>
      </c>
    </row>
    <row r="9" spans="1:17" x14ac:dyDescent="0.25">
      <c r="A9" s="3" t="s">
        <v>14</v>
      </c>
      <c r="B9" s="4">
        <v>2287</v>
      </c>
      <c r="C9" s="4">
        <v>1</v>
      </c>
      <c r="D9" s="4">
        <v>3</v>
      </c>
      <c r="E9" s="4">
        <v>13</v>
      </c>
      <c r="F9" s="4">
        <v>18</v>
      </c>
      <c r="G9" s="5">
        <v>5912830</v>
      </c>
      <c r="H9" s="4">
        <f t="shared" si="0"/>
        <v>10</v>
      </c>
      <c r="I9" s="4">
        <f t="shared" si="1"/>
        <v>5</v>
      </c>
      <c r="N9" s="4">
        <v>1</v>
      </c>
      <c r="O9" s="4">
        <v>3</v>
      </c>
      <c r="P9" s="4">
        <v>10</v>
      </c>
      <c r="Q9" s="4">
        <v>5</v>
      </c>
    </row>
    <row r="10" spans="1:17" x14ac:dyDescent="0.25">
      <c r="A10" s="3" t="s">
        <v>15</v>
      </c>
      <c r="B10" s="4">
        <v>2284</v>
      </c>
      <c r="C10" s="4">
        <v>0</v>
      </c>
      <c r="D10" s="4">
        <v>1</v>
      </c>
      <c r="E10" s="4">
        <v>5</v>
      </c>
      <c r="F10" s="4">
        <v>14</v>
      </c>
      <c r="G10" s="5">
        <v>5401190</v>
      </c>
      <c r="H10" s="4">
        <f t="shared" si="0"/>
        <v>4</v>
      </c>
      <c r="I10" s="4">
        <f t="shared" si="1"/>
        <v>9</v>
      </c>
      <c r="N10" s="4">
        <v>0</v>
      </c>
      <c r="O10" s="4">
        <v>1</v>
      </c>
      <c r="P10" s="4">
        <v>4</v>
      </c>
      <c r="Q10" s="4">
        <v>9</v>
      </c>
    </row>
    <row r="11" spans="1:17" x14ac:dyDescent="0.25">
      <c r="A11" s="3" t="s">
        <v>16</v>
      </c>
      <c r="B11" s="4">
        <v>2284</v>
      </c>
      <c r="C11" s="4">
        <v>3</v>
      </c>
      <c r="D11" s="4">
        <v>1</v>
      </c>
      <c r="E11" s="4">
        <v>9</v>
      </c>
      <c r="F11" s="4">
        <v>17</v>
      </c>
      <c r="G11" s="5">
        <v>5303020</v>
      </c>
      <c r="H11" s="4">
        <f t="shared" si="0"/>
        <v>8</v>
      </c>
      <c r="I11" s="4">
        <f t="shared" si="1"/>
        <v>8</v>
      </c>
      <c r="N11" s="4">
        <v>3</v>
      </c>
      <c r="O11" s="4">
        <v>1</v>
      </c>
      <c r="P11" s="4">
        <v>8</v>
      </c>
      <c r="Q11" s="4">
        <v>8</v>
      </c>
    </row>
    <row r="12" spans="1:17" x14ac:dyDescent="0.25">
      <c r="A12" s="3" t="s">
        <v>17</v>
      </c>
      <c r="B12" s="4">
        <v>2262</v>
      </c>
      <c r="C12" s="4">
        <v>3</v>
      </c>
      <c r="D12" s="4">
        <v>2</v>
      </c>
      <c r="E12" s="4">
        <v>8</v>
      </c>
      <c r="F12" s="4">
        <v>16</v>
      </c>
      <c r="G12" s="5">
        <v>5936470</v>
      </c>
      <c r="H12" s="4">
        <f t="shared" si="0"/>
        <v>6</v>
      </c>
      <c r="I12" s="4">
        <f t="shared" si="1"/>
        <v>8</v>
      </c>
      <c r="N12" s="4">
        <v>3</v>
      </c>
      <c r="O12" s="4">
        <v>2</v>
      </c>
      <c r="P12" s="4">
        <v>6</v>
      </c>
      <c r="Q12" s="4">
        <v>8</v>
      </c>
    </row>
    <row r="13" spans="1:17" x14ac:dyDescent="0.25">
      <c r="A13" s="3" t="s">
        <v>18</v>
      </c>
      <c r="B13" s="4">
        <v>2246</v>
      </c>
      <c r="C13" s="4">
        <v>1</v>
      </c>
      <c r="D13" s="4">
        <v>4</v>
      </c>
      <c r="E13" s="4">
        <v>14</v>
      </c>
      <c r="F13" s="4">
        <v>18</v>
      </c>
      <c r="G13" s="5">
        <v>6161020</v>
      </c>
      <c r="H13" s="4">
        <f t="shared" si="0"/>
        <v>10</v>
      </c>
      <c r="I13" s="4">
        <f t="shared" si="1"/>
        <v>4</v>
      </c>
      <c r="N13" s="4">
        <v>1</v>
      </c>
      <c r="O13" s="4">
        <v>4</v>
      </c>
      <c r="P13" s="4">
        <v>10</v>
      </c>
      <c r="Q13" s="4">
        <v>4</v>
      </c>
    </row>
    <row r="14" spans="1:17" x14ac:dyDescent="0.25">
      <c r="A14" s="3" t="s">
        <v>19</v>
      </c>
      <c r="B14" s="4">
        <v>1047</v>
      </c>
      <c r="C14" s="4">
        <v>0</v>
      </c>
      <c r="D14" s="4">
        <v>1</v>
      </c>
      <c r="E14" s="4">
        <v>4</v>
      </c>
      <c r="F14" s="4">
        <v>16</v>
      </c>
      <c r="G14" s="5">
        <v>5633950</v>
      </c>
      <c r="H14" s="4">
        <f t="shared" si="0"/>
        <v>3</v>
      </c>
      <c r="I14" s="4">
        <f t="shared" si="1"/>
        <v>12</v>
      </c>
      <c r="N14" s="4">
        <v>0</v>
      </c>
      <c r="O14" s="4">
        <v>1</v>
      </c>
      <c r="P14" s="4">
        <v>3</v>
      </c>
      <c r="Q14" s="4">
        <v>12</v>
      </c>
    </row>
    <row r="15" spans="1:17" x14ac:dyDescent="0.25">
      <c r="A15" s="3" t="s">
        <v>20</v>
      </c>
      <c r="B15" s="4">
        <v>1041</v>
      </c>
      <c r="C15" s="4">
        <v>2</v>
      </c>
      <c r="D15" s="4">
        <v>1</v>
      </c>
      <c r="E15" s="4">
        <v>8</v>
      </c>
      <c r="F15" s="4">
        <v>15</v>
      </c>
      <c r="G15" s="5">
        <v>4775160</v>
      </c>
      <c r="H15" s="4">
        <f t="shared" si="0"/>
        <v>7</v>
      </c>
      <c r="I15" s="4">
        <f t="shared" si="1"/>
        <v>7</v>
      </c>
      <c r="N15" s="4">
        <v>2</v>
      </c>
      <c r="O15" s="4">
        <v>1</v>
      </c>
      <c r="P15" s="4">
        <v>7</v>
      </c>
      <c r="Q15" s="4">
        <v>7</v>
      </c>
    </row>
    <row r="16" spans="1:17" x14ac:dyDescent="0.25">
      <c r="A16" s="3" t="s">
        <v>21</v>
      </c>
      <c r="B16" s="4">
        <v>1013</v>
      </c>
      <c r="C16" s="4">
        <v>0</v>
      </c>
      <c r="D16" s="4">
        <v>0</v>
      </c>
      <c r="E16" s="4">
        <v>1</v>
      </c>
      <c r="F16" s="4">
        <v>10</v>
      </c>
      <c r="G16" s="5">
        <v>4825560</v>
      </c>
      <c r="H16" s="4">
        <f t="shared" si="0"/>
        <v>1</v>
      </c>
      <c r="I16" s="4">
        <f t="shared" si="1"/>
        <v>9</v>
      </c>
      <c r="N16" s="4">
        <v>0</v>
      </c>
      <c r="O16" s="4">
        <v>0</v>
      </c>
      <c r="P16" s="4">
        <v>1</v>
      </c>
      <c r="Q16" s="4">
        <v>9</v>
      </c>
    </row>
    <row r="17" spans="1:17" x14ac:dyDescent="0.25">
      <c r="A17" s="3" t="s">
        <v>22</v>
      </c>
      <c r="B17" s="4">
        <v>997</v>
      </c>
      <c r="C17" s="4">
        <v>3</v>
      </c>
      <c r="D17" s="4">
        <v>0</v>
      </c>
      <c r="E17" s="4">
        <v>3</v>
      </c>
      <c r="F17" s="4">
        <v>10</v>
      </c>
      <c r="G17" s="5">
        <v>4318050</v>
      </c>
      <c r="H17" s="4">
        <f t="shared" si="0"/>
        <v>3</v>
      </c>
      <c r="I17" s="4">
        <f t="shared" si="1"/>
        <v>7</v>
      </c>
      <c r="N17" s="4">
        <v>3</v>
      </c>
      <c r="O17" s="4">
        <v>0</v>
      </c>
      <c r="P17" s="4">
        <v>3</v>
      </c>
      <c r="Q17" s="4">
        <v>7</v>
      </c>
    </row>
    <row r="18" spans="1:17" x14ac:dyDescent="0.25">
      <c r="A18" s="3" t="s">
        <v>23</v>
      </c>
      <c r="B18" s="4">
        <v>947</v>
      </c>
      <c r="C18" s="4">
        <v>0</v>
      </c>
      <c r="D18" s="4">
        <v>1</v>
      </c>
      <c r="E18" s="4">
        <v>4</v>
      </c>
      <c r="F18" s="4">
        <v>8</v>
      </c>
      <c r="G18" s="5">
        <v>3853690</v>
      </c>
      <c r="H18" s="4">
        <f t="shared" si="0"/>
        <v>3</v>
      </c>
      <c r="I18" s="4">
        <f t="shared" si="1"/>
        <v>4</v>
      </c>
      <c r="N18" s="4">
        <v>0</v>
      </c>
      <c r="O18" s="4">
        <v>1</v>
      </c>
      <c r="P18" s="4">
        <v>3</v>
      </c>
      <c r="Q18" s="4">
        <v>4</v>
      </c>
    </row>
    <row r="19" spans="1:17" x14ac:dyDescent="0.25">
      <c r="A19" s="3" t="s">
        <v>24</v>
      </c>
      <c r="B19" s="4">
        <v>937</v>
      </c>
      <c r="C19" s="4">
        <v>1</v>
      </c>
      <c r="D19" s="4">
        <v>0</v>
      </c>
      <c r="E19" s="4">
        <v>3</v>
      </c>
      <c r="F19" s="4">
        <v>12</v>
      </c>
      <c r="G19" s="5">
        <v>3955560</v>
      </c>
      <c r="H19" s="4">
        <f t="shared" si="0"/>
        <v>3</v>
      </c>
      <c r="I19" s="4">
        <f t="shared" si="1"/>
        <v>9</v>
      </c>
      <c r="N19" s="4">
        <v>1</v>
      </c>
      <c r="O19" s="4">
        <v>0</v>
      </c>
      <c r="P19" s="4">
        <v>3</v>
      </c>
      <c r="Q19" s="4">
        <v>9</v>
      </c>
    </row>
    <row r="20" spans="1:17" x14ac:dyDescent="0.25">
      <c r="A20" s="3" t="s">
        <v>25</v>
      </c>
      <c r="B20" s="4">
        <v>936</v>
      </c>
      <c r="C20" s="4">
        <v>0</v>
      </c>
      <c r="D20" s="4">
        <v>1</v>
      </c>
      <c r="E20" s="4">
        <v>5</v>
      </c>
      <c r="F20" s="4">
        <v>12</v>
      </c>
      <c r="G20" s="5">
        <v>4750390</v>
      </c>
      <c r="H20" s="4">
        <f t="shared" si="0"/>
        <v>4</v>
      </c>
      <c r="I20" s="4">
        <f t="shared" si="1"/>
        <v>7</v>
      </c>
      <c r="N20" s="4">
        <v>0</v>
      </c>
      <c r="O20" s="4">
        <v>1</v>
      </c>
      <c r="P20" s="4">
        <v>4</v>
      </c>
      <c r="Q20" s="4">
        <v>7</v>
      </c>
    </row>
    <row r="21" spans="1:17" x14ac:dyDescent="0.25">
      <c r="A21" s="3" t="s">
        <v>26</v>
      </c>
      <c r="B21" s="4">
        <v>935</v>
      </c>
      <c r="C21" s="4">
        <v>0</v>
      </c>
      <c r="D21" s="4">
        <v>0</v>
      </c>
      <c r="E21" s="4">
        <v>2</v>
      </c>
      <c r="F21" s="4">
        <v>5</v>
      </c>
      <c r="G21" s="5">
        <v>3807780</v>
      </c>
      <c r="H21" s="4">
        <f t="shared" si="0"/>
        <v>2</v>
      </c>
      <c r="I21" s="4">
        <f t="shared" si="1"/>
        <v>3</v>
      </c>
      <c r="N21" s="4">
        <v>0</v>
      </c>
      <c r="O21" s="4">
        <v>0</v>
      </c>
      <c r="P21" s="4">
        <v>2</v>
      </c>
      <c r="Q21" s="4">
        <v>3</v>
      </c>
    </row>
    <row r="22" spans="1:17" x14ac:dyDescent="0.25">
      <c r="A22" s="3" t="s">
        <v>27</v>
      </c>
      <c r="B22" s="4">
        <v>932</v>
      </c>
      <c r="C22" s="4">
        <v>2</v>
      </c>
      <c r="D22" s="4">
        <v>0</v>
      </c>
      <c r="E22" s="4">
        <v>2</v>
      </c>
      <c r="F22" s="4">
        <v>8</v>
      </c>
      <c r="G22" s="5">
        <v>5020780</v>
      </c>
      <c r="H22" s="4">
        <f t="shared" si="0"/>
        <v>2</v>
      </c>
      <c r="I22" s="4">
        <f t="shared" si="1"/>
        <v>6</v>
      </c>
      <c r="N22" s="4">
        <v>2</v>
      </c>
      <c r="O22" s="4">
        <v>0</v>
      </c>
      <c r="P22" s="4">
        <v>2</v>
      </c>
      <c r="Q22" s="4">
        <v>6</v>
      </c>
    </row>
    <row r="23" spans="1:17" x14ac:dyDescent="0.25">
      <c r="A23" s="3" t="s">
        <v>28</v>
      </c>
      <c r="B23" s="4">
        <v>930</v>
      </c>
      <c r="C23" s="4">
        <v>2</v>
      </c>
      <c r="D23" s="4">
        <v>0</v>
      </c>
      <c r="E23" s="4">
        <v>2</v>
      </c>
      <c r="F23" s="4">
        <v>10</v>
      </c>
      <c r="G23" s="5">
        <v>3830910</v>
      </c>
      <c r="H23" s="4">
        <f t="shared" si="0"/>
        <v>2</v>
      </c>
      <c r="I23" s="4">
        <f t="shared" si="1"/>
        <v>8</v>
      </c>
      <c r="N23" s="4">
        <v>2</v>
      </c>
      <c r="O23" s="4">
        <v>0</v>
      </c>
      <c r="P23" s="4">
        <v>2</v>
      </c>
      <c r="Q23" s="4">
        <v>8</v>
      </c>
    </row>
    <row r="24" spans="1:17" x14ac:dyDescent="0.25">
      <c r="A24" s="3" t="s">
        <v>29</v>
      </c>
      <c r="B24" s="4">
        <v>906</v>
      </c>
      <c r="C24" s="4">
        <v>2</v>
      </c>
      <c r="D24" s="4">
        <v>1</v>
      </c>
      <c r="E24" s="4">
        <v>4</v>
      </c>
      <c r="F24" s="4">
        <v>8</v>
      </c>
      <c r="G24" s="5">
        <v>4203660</v>
      </c>
      <c r="H24" s="4">
        <f t="shared" si="0"/>
        <v>3</v>
      </c>
      <c r="I24" s="4">
        <f t="shared" si="1"/>
        <v>4</v>
      </c>
      <c r="N24" s="4">
        <v>2</v>
      </c>
      <c r="O24" s="4">
        <v>1</v>
      </c>
      <c r="P24" s="4">
        <v>3</v>
      </c>
      <c r="Q24" s="4">
        <v>4</v>
      </c>
    </row>
    <row r="25" spans="1:17" x14ac:dyDescent="0.25">
      <c r="A25" s="3" t="s">
        <v>30</v>
      </c>
      <c r="B25" s="4">
        <v>902</v>
      </c>
      <c r="C25" s="4">
        <v>2</v>
      </c>
      <c r="D25" s="4">
        <v>0</v>
      </c>
      <c r="E25" s="4">
        <v>4</v>
      </c>
      <c r="F25" s="4">
        <v>6</v>
      </c>
      <c r="G25" s="5">
        <v>3856010</v>
      </c>
      <c r="H25" s="4">
        <f t="shared" si="0"/>
        <v>4</v>
      </c>
      <c r="I25" s="4">
        <f t="shared" si="1"/>
        <v>2</v>
      </c>
      <c r="N25" s="4">
        <v>2</v>
      </c>
      <c r="O25" s="4">
        <v>0</v>
      </c>
      <c r="P25" s="4">
        <v>4</v>
      </c>
      <c r="Q25" s="4">
        <v>2</v>
      </c>
    </row>
    <row r="26" spans="1:17" x14ac:dyDescent="0.25">
      <c r="A26" s="3" t="s">
        <v>31</v>
      </c>
      <c r="B26" s="4">
        <v>846</v>
      </c>
      <c r="C26" s="4">
        <v>0</v>
      </c>
      <c r="D26" s="4">
        <v>0</v>
      </c>
      <c r="E26" s="4">
        <v>3</v>
      </c>
      <c r="F26" s="4">
        <v>7</v>
      </c>
      <c r="G26" s="5">
        <v>4301880</v>
      </c>
      <c r="H26" s="4">
        <f t="shared" si="0"/>
        <v>3</v>
      </c>
      <c r="I26" s="4">
        <f t="shared" si="1"/>
        <v>4</v>
      </c>
      <c r="N26" s="4">
        <v>0</v>
      </c>
      <c r="O26" s="4">
        <v>0</v>
      </c>
      <c r="P26" s="4">
        <v>3</v>
      </c>
      <c r="Q26" s="4">
        <v>4</v>
      </c>
    </row>
    <row r="27" spans="1:17" x14ac:dyDescent="0.25">
      <c r="A27" s="3" t="s">
        <v>32</v>
      </c>
      <c r="B27" s="4">
        <v>820</v>
      </c>
      <c r="C27" s="4">
        <v>0</v>
      </c>
      <c r="D27" s="4">
        <v>1</v>
      </c>
      <c r="E27" s="4">
        <v>2</v>
      </c>
      <c r="F27" s="4">
        <v>5</v>
      </c>
      <c r="G27" s="5">
        <v>4579860</v>
      </c>
      <c r="H27" s="4">
        <f t="shared" si="0"/>
        <v>1</v>
      </c>
      <c r="I27" s="4">
        <f t="shared" si="1"/>
        <v>3</v>
      </c>
      <c r="N27" s="4">
        <v>0</v>
      </c>
      <c r="O27" s="4">
        <v>1</v>
      </c>
      <c r="P27" s="4">
        <v>1</v>
      </c>
      <c r="Q27" s="4">
        <v>3</v>
      </c>
    </row>
    <row r="28" spans="1:17" x14ac:dyDescent="0.25">
      <c r="A28" s="3" t="s">
        <v>33</v>
      </c>
      <c r="B28" s="4">
        <v>795</v>
      </c>
      <c r="C28" s="4">
        <v>1</v>
      </c>
      <c r="D28" s="4">
        <v>0</v>
      </c>
      <c r="E28" s="4">
        <v>2</v>
      </c>
      <c r="F28" s="4">
        <v>4</v>
      </c>
      <c r="G28" s="5">
        <v>4794770</v>
      </c>
      <c r="H28" s="4">
        <f t="shared" si="0"/>
        <v>2</v>
      </c>
      <c r="I28" s="4">
        <f t="shared" si="1"/>
        <v>2</v>
      </c>
      <c r="N28" s="4">
        <v>1</v>
      </c>
      <c r="O28" s="4">
        <v>0</v>
      </c>
      <c r="P28" s="4">
        <v>2</v>
      </c>
      <c r="Q28" s="4">
        <v>2</v>
      </c>
    </row>
    <row r="29" spans="1:17" x14ac:dyDescent="0.25">
      <c r="A29" s="3" t="s">
        <v>34</v>
      </c>
      <c r="B29" s="4">
        <v>757</v>
      </c>
      <c r="C29" s="4">
        <v>1</v>
      </c>
      <c r="D29" s="4">
        <v>0</v>
      </c>
      <c r="E29" s="4">
        <v>1</v>
      </c>
      <c r="F29" s="4">
        <v>3</v>
      </c>
      <c r="G29" s="5">
        <v>4374770</v>
      </c>
      <c r="H29" s="4">
        <f t="shared" si="0"/>
        <v>1</v>
      </c>
      <c r="I29" s="4">
        <f t="shared" si="1"/>
        <v>2</v>
      </c>
      <c r="N29" s="4">
        <v>1</v>
      </c>
      <c r="O29" s="4">
        <v>0</v>
      </c>
      <c r="P29" s="4">
        <v>1</v>
      </c>
      <c r="Q29" s="4">
        <v>2</v>
      </c>
    </row>
    <row r="30" spans="1:17" x14ac:dyDescent="0.25">
      <c r="A30" s="3" t="s">
        <v>35</v>
      </c>
      <c r="B30" s="4">
        <v>670</v>
      </c>
      <c r="C30" s="4">
        <v>0</v>
      </c>
      <c r="D30" s="4">
        <v>0</v>
      </c>
      <c r="E30" s="4">
        <v>1</v>
      </c>
      <c r="F30" s="4">
        <v>2</v>
      </c>
      <c r="G30" s="5">
        <v>4505650</v>
      </c>
      <c r="H30" s="4">
        <f t="shared" si="0"/>
        <v>1</v>
      </c>
      <c r="I30" s="4">
        <f t="shared" si="1"/>
        <v>1</v>
      </c>
      <c r="N30" s="4">
        <v>0</v>
      </c>
      <c r="O30" s="4">
        <v>0</v>
      </c>
      <c r="P30" s="4">
        <v>1</v>
      </c>
      <c r="Q30" s="4">
        <v>1</v>
      </c>
    </row>
    <row r="31" spans="1:17" x14ac:dyDescent="0.25">
      <c r="A31" s="3" t="s">
        <v>36</v>
      </c>
      <c r="B31" s="4">
        <v>572</v>
      </c>
      <c r="C31" s="4">
        <v>0</v>
      </c>
      <c r="D31" s="4">
        <v>0</v>
      </c>
      <c r="E31" s="4">
        <v>1</v>
      </c>
      <c r="F31" s="4">
        <v>2</v>
      </c>
      <c r="G31" s="5">
        <v>3878390</v>
      </c>
      <c r="H31" s="4">
        <f t="shared" si="0"/>
        <v>1</v>
      </c>
      <c r="I31" s="4">
        <f t="shared" si="1"/>
        <v>1</v>
      </c>
      <c r="N31" s="4">
        <v>0</v>
      </c>
      <c r="O31" s="4">
        <v>0</v>
      </c>
      <c r="P31" s="4">
        <v>1</v>
      </c>
      <c r="Q31" s="4">
        <v>1</v>
      </c>
    </row>
    <row r="32" spans="1:17" x14ac:dyDescent="0.25">
      <c r="A32" s="3" t="s">
        <v>37</v>
      </c>
      <c r="B32" s="4">
        <v>541</v>
      </c>
      <c r="C32" s="4">
        <v>0</v>
      </c>
      <c r="D32" s="4">
        <v>0</v>
      </c>
      <c r="E32" s="4">
        <v>0</v>
      </c>
      <c r="F32" s="4">
        <v>0</v>
      </c>
      <c r="G32" s="5">
        <v>2838320</v>
      </c>
      <c r="H32" s="4">
        <f t="shared" si="0"/>
        <v>0</v>
      </c>
      <c r="I32" s="4">
        <f t="shared" si="1"/>
        <v>0</v>
      </c>
      <c r="N32" s="4">
        <v>0</v>
      </c>
      <c r="O32" s="4">
        <v>0</v>
      </c>
      <c r="P32" s="4">
        <v>0</v>
      </c>
      <c r="Q32" s="4">
        <v>0</v>
      </c>
    </row>
    <row r="33" spans="1:17" x14ac:dyDescent="0.25">
      <c r="A33" s="3" t="s">
        <v>38</v>
      </c>
      <c r="B33" s="4">
        <v>508</v>
      </c>
      <c r="C33" s="4">
        <v>0</v>
      </c>
      <c r="D33" s="4">
        <v>0</v>
      </c>
      <c r="E33" s="4">
        <v>1</v>
      </c>
      <c r="F33" s="4">
        <v>1</v>
      </c>
      <c r="G33" s="5">
        <v>3229210</v>
      </c>
      <c r="H33" s="4">
        <f t="shared" si="0"/>
        <v>1</v>
      </c>
      <c r="I33" s="4">
        <f t="shared" si="1"/>
        <v>0</v>
      </c>
      <c r="N33" s="4">
        <v>0</v>
      </c>
      <c r="O33" s="4">
        <v>0</v>
      </c>
      <c r="P33" s="4">
        <v>1</v>
      </c>
      <c r="Q33" s="4">
        <v>0</v>
      </c>
    </row>
    <row r="34" spans="1:17" x14ac:dyDescent="0.25">
      <c r="A34" s="3" t="s">
        <v>39</v>
      </c>
      <c r="B34" s="4">
        <v>398</v>
      </c>
      <c r="C34" s="4">
        <v>0</v>
      </c>
      <c r="D34" s="4">
        <v>0</v>
      </c>
      <c r="E34" s="4">
        <v>0</v>
      </c>
      <c r="F34" s="4">
        <v>0</v>
      </c>
      <c r="G34" s="5">
        <v>2868220</v>
      </c>
      <c r="H34" s="4">
        <f t="shared" si="0"/>
        <v>0</v>
      </c>
      <c r="I34" s="4">
        <f t="shared" si="1"/>
        <v>0</v>
      </c>
      <c r="N34" s="4">
        <v>0</v>
      </c>
      <c r="O34" s="4">
        <v>0</v>
      </c>
      <c r="P34" s="4">
        <v>0</v>
      </c>
      <c r="Q34" s="4">
        <v>0</v>
      </c>
    </row>
    <row r="35" spans="1:17" x14ac:dyDescent="0.25">
      <c r="A35" s="3" t="s">
        <v>40</v>
      </c>
      <c r="B35" s="4">
        <v>268</v>
      </c>
      <c r="C35" s="4">
        <v>0</v>
      </c>
      <c r="D35" s="4">
        <v>0</v>
      </c>
      <c r="E35" s="4">
        <v>0</v>
      </c>
      <c r="F35" s="4">
        <v>0</v>
      </c>
      <c r="G35" s="5">
        <v>2271890</v>
      </c>
      <c r="H35" s="4">
        <f t="shared" si="0"/>
        <v>0</v>
      </c>
      <c r="I35" s="4">
        <f t="shared" si="1"/>
        <v>0</v>
      </c>
      <c r="N35" s="4">
        <v>0</v>
      </c>
      <c r="O35" s="4">
        <v>0</v>
      </c>
      <c r="P35" s="4">
        <v>0</v>
      </c>
      <c r="Q35" s="4">
        <v>0</v>
      </c>
    </row>
    <row r="36" spans="1:17" x14ac:dyDescent="0.25">
      <c r="A36" s="3" t="s">
        <v>41</v>
      </c>
      <c r="B36" s="4">
        <v>192</v>
      </c>
      <c r="C36" s="4">
        <v>0</v>
      </c>
      <c r="D36" s="4">
        <v>0</v>
      </c>
      <c r="E36" s="4">
        <v>0</v>
      </c>
      <c r="F36" s="4">
        <v>0</v>
      </c>
      <c r="G36" s="5">
        <v>2559500</v>
      </c>
      <c r="H36" s="4">
        <f t="shared" si="0"/>
        <v>0</v>
      </c>
      <c r="I36" s="4">
        <f t="shared" si="1"/>
        <v>0</v>
      </c>
      <c r="N36" s="4">
        <v>0</v>
      </c>
      <c r="O36" s="4">
        <v>0</v>
      </c>
      <c r="P36" s="4">
        <v>0</v>
      </c>
      <c r="Q3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Regression 1  Poles</vt:lpstr>
      <vt:lpstr>Regression 2 Wins</vt:lpstr>
      <vt:lpstr>Regression 3 Top 5</vt:lpstr>
      <vt:lpstr>Regression 4 Top 10</vt:lpstr>
      <vt:lpstr>Multiple Regression</vt:lpstr>
      <vt:lpstr>New Regression</vt:lpstr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Mohammed Asrih</cp:lastModifiedBy>
  <dcterms:created xsi:type="dcterms:W3CDTF">2012-04-13T12:17:14Z</dcterms:created>
  <dcterms:modified xsi:type="dcterms:W3CDTF">2026-04-08T00:49:10Z</dcterms:modified>
</cp:coreProperties>
</file>